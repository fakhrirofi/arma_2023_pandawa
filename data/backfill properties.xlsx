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ETITION\ARMA 2023\Template new\data\"/>
    </mc:Choice>
  </mc:AlternateContent>
  <xr:revisionPtr revIDLastSave="0" documentId="13_ncr:1_{BD5793BE-4DE3-40F7-B758-4FD5D2CDE78A}" xr6:coauthVersionLast="47" xr6:coauthVersionMax="47" xr10:uidLastSave="{00000000-0000-0000-0000-000000000000}"/>
  <bookViews>
    <workbookView xWindow="4605" yWindow="1965" windowWidth="15300" windowHeight="7785" xr2:uid="{00000000-000D-0000-FFFF-FFFF00000000}"/>
  </bookViews>
  <sheets>
    <sheet name="backfill_strength" sheetId="1" r:id="rId1"/>
  </sheets>
  <calcPr calcId="191029"/>
</workbook>
</file>

<file path=xl/calcChain.xml><?xml version="1.0" encoding="utf-8"?>
<calcChain xmlns="http://schemas.openxmlformats.org/spreadsheetml/2006/main">
  <c r="C2" i="1" l="1"/>
  <c r="E2" i="1"/>
  <c r="C3" i="1"/>
  <c r="E3" i="1"/>
  <c r="C4" i="1"/>
  <c r="E4" i="1"/>
  <c r="C5" i="1"/>
  <c r="E5" i="1"/>
  <c r="C6" i="1"/>
  <c r="E6" i="1"/>
  <c r="C7" i="1"/>
  <c r="E7" i="1"/>
</calcChain>
</file>

<file path=xl/sharedStrings.xml><?xml version="1.0" encoding="utf-8"?>
<sst xmlns="http://schemas.openxmlformats.org/spreadsheetml/2006/main" count="11" uniqueCount="11">
  <si>
    <t>type</t>
  </si>
  <si>
    <t>a</t>
  </si>
  <si>
    <t>b</t>
  </si>
  <si>
    <t>c</t>
  </si>
  <si>
    <t>d</t>
  </si>
  <si>
    <t>e</t>
  </si>
  <si>
    <t>f</t>
  </si>
  <si>
    <t>cement (%)</t>
  </si>
  <si>
    <t>ucs (Pa)</t>
  </si>
  <si>
    <t>friction (deg)</t>
  </si>
  <si>
    <t>cohesive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</si>
</sst>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" sqref="F1"/>
    </sheetView>
  </sheetViews>
  <sheetFormatPr defaultRowHeight="15" x14ac:dyDescent="0.25"/>
  <cols>
    <col min="1" max="1" width="6.140625" customWidth="1"/>
    <col min="2" max="2" width="12.28515625" customWidth="1"/>
    <col min="3" max="3" width="11.28515625" customWidth="1"/>
    <col min="4" max="4" width="12.5703125" customWidth="1"/>
    <col min="5" max="5" width="13.42578125" customWidth="1"/>
  </cols>
  <sheetData>
    <row r="1" spans="1:5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s="1" t="s">
        <v>1</v>
      </c>
      <c r="B2" s="1">
        <v>2</v>
      </c>
      <c r="C2" s="1">
        <f>0.2*10^6</f>
        <v>200000</v>
      </c>
      <c r="D2" s="1">
        <v>35</v>
      </c>
      <c r="E2" s="2">
        <f>(C2*(1-SIN(RADIANS(D2))))/(2*COS(RADIANS(D2)))</f>
        <v>52056.705055174629</v>
      </c>
    </row>
    <row r="3" spans="1:5" x14ac:dyDescent="0.25">
      <c r="A3" s="1" t="s">
        <v>2</v>
      </c>
      <c r="B3" s="1">
        <v>4</v>
      </c>
      <c r="C3" s="1">
        <f>0.5*10^6</f>
        <v>500000</v>
      </c>
      <c r="D3" s="1">
        <v>35</v>
      </c>
      <c r="E3" s="2">
        <f t="shared" ref="E3:E7" si="0">(C3*(1-SIN(RADIANS(D3))))/(2*COS(RADIANS(D3)))</f>
        <v>130141.7626379366</v>
      </c>
    </row>
    <row r="4" spans="1:5" x14ac:dyDescent="0.25">
      <c r="A4" s="1" t="s">
        <v>3</v>
      </c>
      <c r="B4" s="1">
        <v>6</v>
      </c>
      <c r="C4" s="1">
        <f>0.9*10^6</f>
        <v>900000</v>
      </c>
      <c r="D4" s="1">
        <v>35</v>
      </c>
      <c r="E4" s="2">
        <f t="shared" si="0"/>
        <v>234255.17274828587</v>
      </c>
    </row>
    <row r="5" spans="1:5" x14ac:dyDescent="0.25">
      <c r="A5" s="1" t="s">
        <v>4</v>
      </c>
      <c r="B5" s="1">
        <v>8</v>
      </c>
      <c r="C5" s="1">
        <f>1.3*10^6</f>
        <v>1300000</v>
      </c>
      <c r="D5" s="1">
        <v>35</v>
      </c>
      <c r="E5" s="2">
        <f t="shared" si="0"/>
        <v>338368.58285863511</v>
      </c>
    </row>
    <row r="6" spans="1:5" x14ac:dyDescent="0.25">
      <c r="A6" s="1" t="s">
        <v>5</v>
      </c>
      <c r="B6" s="1">
        <v>10</v>
      </c>
      <c r="C6" s="1">
        <f>1.7*10^6</f>
        <v>1700000</v>
      </c>
      <c r="D6" s="1">
        <v>35</v>
      </c>
      <c r="E6" s="2">
        <f t="shared" si="0"/>
        <v>442481.99296898441</v>
      </c>
    </row>
    <row r="7" spans="1:5" x14ac:dyDescent="0.25">
      <c r="A7" s="1" t="s">
        <v>6</v>
      </c>
      <c r="B7" s="1">
        <v>12</v>
      </c>
      <c r="C7" s="1">
        <f>2*10^6</f>
        <v>2000000</v>
      </c>
      <c r="D7" s="1">
        <v>35</v>
      </c>
      <c r="E7" s="2">
        <f t="shared" si="0"/>
        <v>520567.05055174639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backfill_strength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Fakhri Catur Rofi</dc:creator>
  <cp:lastModifiedBy>Fakhri Catur Rofi</cp:lastModifiedBy>
  <dcterms:created xsi:type="dcterms:W3CDTF">2023-12-13T17:20:19Z</dcterms:created>
  <dcterms:modified xsi:type="dcterms:W3CDTF">2023-12-13T17:22:05Z</dcterms:modified>
</cp:coreProperties>
</file>